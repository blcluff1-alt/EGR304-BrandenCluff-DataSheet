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18FCB810-FAED-49F9-8351-00253F85C590}" xr6:coauthVersionLast="47" xr6:coauthVersionMax="47" xr10:uidLastSave="{00000000-0000-0000-0000-000000000000}"/>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7" i="1" l="1"/>
  <c r="G36" i="1"/>
  <c r="G35" i="1"/>
  <c r="G27" i="1"/>
  <c r="G22" i="1"/>
  <c r="G21" i="1"/>
  <c r="G20" i="1"/>
  <c r="G19" i="1"/>
  <c r="G18" i="1"/>
  <c r="G23" i="1" s="1"/>
  <c r="G25" i="1" s="1"/>
  <c r="G11" i="1"/>
  <c r="G10" i="1"/>
  <c r="G42" i="1" l="1"/>
  <c r="G38" i="1"/>
  <c r="G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<sst xmlns="http://schemas.openxmlformats.org/spreadsheetml/2006/main" count="102" uniqueCount="60">
  <si>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</si>
  <si>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</si>
  <si>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</si>
  <si>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</si>
  <si>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</si>
  <si>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</si>
  <si>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</si>
  <si>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</si>
  <si>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</si>
  <si>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</si>
  <si>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</si>
  <si>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</si>
  <si>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</si>
  <si>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</si>
  <si>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(range)</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</si>
  <si>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</si>
  <si>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</si>
  <si>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</si>
  <si>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</si>
  <si>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Total Remaining Current Available on +12V Rail</t>
  </si>
  <si>
    <t xml:space="preserve"> +5V Power Rail</t>
  </si>
  <si>
    <t>Total Current Required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</si>
  <si>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</si>
  <si>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</si>
  <si>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</si>
  <si>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</si>
  <si>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</si>
  <si>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</si>
  <si>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Total Remaining Current Available on External Power Source 1</t>
  </si>
  <si>
    <t xml:space="preserve"> +9V</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</si>
  <si>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</si>
  <si>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</si>
  <si>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</si>
  <si>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</si>
  <si>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</si>
  <si>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</si>
  <si>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</si>
  <si>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</si>
  <si>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Weather System</t>
  </si>
  <si>
    <t>Zander Boward, Sidra Elsaady, Brendan Laskowski</t>
  </si>
  <si>
    <t>Branden Cluff's Power Budget</t>
  </si>
  <si>
    <t>PIC18F57Q43 Curiosity Nano</t>
  </si>
  <si>
    <t>PIC18F57Q43</t>
  </si>
  <si>
    <t>+3.3V - 5.0V</t>
  </si>
  <si>
    <t>Variable/Passive</t>
  </si>
  <si>
    <t>+1.8V - 5.5V</t>
  </si>
  <si>
    <t>MCP6004 Quad Op-Amp</t>
  </si>
  <si>
    <t>MCP6004</t>
  </si>
  <si>
    <t>PDV-P8103 Photoresistor</t>
  </si>
  <si>
    <t>PDV-P8103</t>
  </si>
  <si>
    <t>STMicroelectronics L7805CV Linear Regulator</t>
  </si>
  <si>
    <t>L7805CV</t>
  </si>
  <si>
    <t>+7V-35V</t>
  </si>
  <si>
    <t>9V DC Wall Adapter</t>
  </si>
  <si>
    <t>WSU090-1300-13</t>
  </si>
  <si>
    <t>LM7805CV</t>
  </si>
  <si>
    <t xml:space="preserve"> +5V Regulator STMicroelectronics L7805CV Linear Regulator</t>
  </si>
  <si>
    <t>+90 - 264 VAC</t>
  </si>
  <si>
    <t>6LR61-1B</t>
  </si>
  <si>
    <t>Standard 9V Alkaline Battery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</si>
</sst>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2"/>
      <color rgb="FF000000"/>
      <name val="Calibri"/>
      <family val="2"/>
    </font>
    <font>
      <sz val="12"/>
      <color rgb="FF000000"/>
      <name val="Arial"/>
      <family val="2"/>
    </font>
    <font>
      <b/>
      <sz val="24"/>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84">
    <xf numFmtId="0" fontId="0" fillId="0" borderId="0" xfId="0" applyFont="1" applyAlignment="1"/>
    <xf numFmtId="0" fontId="1" fillId="0" borderId="1" xfId="0" applyFont="1" applyBorder="1" applyAlignment="1"/>
    <xf numFmtId="0" fontId="2" fillId="0" borderId="1" xfId="0" applyFont="1" applyBorder="1"/>
    <xf numFmtId="0" fontId="1" fillId="0" borderId="0" xfId="0" applyFont="1" applyAlignment="1">
      <alignment horizontal="center"/>
    </xf>
    <xf numFmtId="0" fontId="3" fillId="0" borderId="1" xfId="0" applyFont="1" applyBorder="1" applyAlignment="1"/>
    <xf numFmtId="0" fontId="1" fillId="0" borderId="0" xfId="0" applyFont="1" applyAlignment="1"/>
    <xf numFmtId="0" fontId="3" fillId="0" borderId="0" xfId="0" applyFont="1" applyAlignme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Font="1" applyBorder="1" applyAlignment="1"/>
    <xf numFmtId="0" fontId="0" fillId="0" borderId="0" xfId="0" applyFont="1" applyAlignment="1"/>
    <xf numFmtId="0" fontId="5" fillId="0" borderId="0" xfId="0" applyFont="1" applyAlignment="1">
      <alignment horizontal="center"/>
    </xf>
    <xf numFmtId="0" fontId="0" fillId="0" borderId="0" xfId="0" applyFont="1" applyAlignment="1">
      <alignment horizontal="center"/>
    </xf>
    <xf numFmtId="0" fontId="0" fillId="0" borderId="9" xfId="0" applyFont="1" applyBorder="1" applyAlignment="1"/>
    <xf numFmtId="0" fontId="5" fillId="0" borderId="9" xfId="0" applyFont="1" applyBorder="1" applyAlignment="1"/>
    <xf numFmtId="0" fontId="0" fillId="0" borderId="0" xfId="0" applyFont="1" applyAlignment="1"/>
    <xf numFmtId="0" fontId="5" fillId="0" borderId="0" xfId="0" applyFont="1" applyAlignment="1"/>
    <xf numFmtId="49" fontId="5" fillId="0" borderId="0" xfId="0" applyNumberFormat="1" applyFont="1" applyAlignment="1">
      <alignment horizontal="center"/>
    </xf>
    <xf numFmtId="0" fontId="1" fillId="0" borderId="8" xfId="0" applyFont="1" applyBorder="1" applyAlignment="1"/>
    <xf numFmtId="0" fontId="1" fillId="0" borderId="0" xfId="0" applyFont="1" applyAlignment="1"/>
    <xf numFmtId="0" fontId="3" fillId="0" borderId="0" xfId="0" applyFont="1" applyAlignment="1">
      <alignment horizontal="center"/>
    </xf>
    <xf numFmtId="0" fontId="1" fillId="0" borderId="9" xfId="0" applyFont="1" applyBorder="1" applyAlignment="1"/>
    <xf numFmtId="0" fontId="4" fillId="3" borderId="10" xfId="0" applyFont="1" applyFill="1" applyBorder="1" applyAlignment="1"/>
    <xf numFmtId="0" fontId="6" fillId="0" borderId="0" xfId="0" applyFont="1" applyAlignment="1">
      <alignment horizontal="right"/>
    </xf>
    <xf numFmtId="9" fontId="0" fillId="0" borderId="9" xfId="0" applyNumberFormat="1" applyFont="1" applyBorder="1" applyAlignment="1"/>
    <xf numFmtId="0" fontId="6" fillId="0" borderId="8" xfId="0" applyFont="1" applyBorder="1" applyAlignment="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Font="1"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0" fillId="0" borderId="8" xfId="0" applyFont="1" applyBorder="1" applyAlignment="1"/>
    <xf numFmtId="0" fontId="4" fillId="0" borderId="8" xfId="0" applyFont="1" applyBorder="1" applyAlignment="1">
      <alignment wrapText="1"/>
    </xf>
    <xf numFmtId="0" fontId="4" fillId="0" borderId="0" xfId="0" applyFont="1" applyAlignment="1">
      <alignment wrapText="1"/>
    </xf>
    <xf numFmtId="0" fontId="4" fillId="0" borderId="8" xfId="0" applyFont="1" applyBorder="1" applyAlignment="1"/>
    <xf numFmtId="0" fontId="4" fillId="0" borderId="9" xfId="0" applyFont="1" applyBorder="1" applyAlignment="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applyAlignment="1"/>
    <xf numFmtId="0" fontId="7" fillId="0" borderId="0" xfId="0" applyFont="1" applyAlignment="1"/>
    <xf numFmtId="0" fontId="0" fillId="0" borderId="9" xfId="0" applyFont="1" applyBorder="1" applyAlignment="1">
      <alignment horizontal="center"/>
    </xf>
    <xf numFmtId="0" fontId="6" fillId="2" borderId="1" xfId="0" applyFont="1" applyFill="1" applyBorder="1" applyAlignment="1"/>
    <xf numFmtId="0" fontId="1" fillId="3" borderId="8" xfId="0" applyFont="1" applyFill="1" applyBorder="1" applyAlignment="1"/>
    <xf numFmtId="0" fontId="1" fillId="3" borderId="16" xfId="0" applyFont="1" applyFill="1" applyBorder="1" applyAlignment="1"/>
    <xf numFmtId="0" fontId="3" fillId="3" borderId="17" xfId="0" applyFont="1" applyFill="1" applyBorder="1" applyAlignment="1">
      <alignment horizontal="center"/>
    </xf>
    <xf numFmtId="0" fontId="3" fillId="3" borderId="18" xfId="0" applyFont="1" applyFill="1" applyBorder="1" applyAlignment="1">
      <alignment horizontal="center"/>
    </xf>
    <xf numFmtId="0" fontId="3" fillId="3" borderId="9" xfId="0" applyFont="1" applyFill="1" applyBorder="1" applyAlignment="1">
      <alignment horizontal="center"/>
    </xf>
    <xf numFmtId="0" fontId="1" fillId="3" borderId="9" xfId="0" applyFont="1" applyFill="1" applyBorder="1" applyAlignment="1"/>
    <xf numFmtId="0" fontId="0" fillId="0" borderId="9" xfId="0" applyFont="1" applyBorder="1" applyAlignment="1"/>
    <xf numFmtId="0" fontId="0" fillId="2" borderId="0" xfId="0" applyFont="1" applyFill="1" applyAlignment="1"/>
    <xf numFmtId="0" fontId="0" fillId="0" borderId="0" xfId="0" applyFont="1" applyAlignment="1"/>
    <xf numFmtId="0" fontId="4" fillId="2" borderId="2" xfId="0" applyFont="1" applyFill="1" applyBorder="1" applyAlignment="1">
      <alignment wrapText="1"/>
    </xf>
    <xf numFmtId="0" fontId="2" fillId="0" borderId="3" xfId="0" applyFont="1" applyBorder="1"/>
    <xf numFmtId="0" fontId="2" fillId="0" borderId="4" xfId="0" applyFont="1" applyBorder="1"/>
    <xf numFmtId="0" fontId="6" fillId="0" borderId="0" xfId="0" applyFont="1" applyAlignment="1">
      <alignment horizontal="right"/>
    </xf>
    <xf numFmtId="0" fontId="4" fillId="0" borderId="0" xfId="0" applyFont="1" applyAlignment="1">
      <alignment horizontal="right"/>
    </xf>
    <xf numFmtId="49" fontId="4" fillId="0" borderId="12" xfId="0" applyNumberFormat="1" applyFont="1" applyBorder="1" applyAlignment="1">
      <alignment horizontal="right"/>
    </xf>
    <xf numFmtId="0" fontId="2" fillId="0" borderId="12" xfId="0" applyFont="1" applyBorder="1"/>
    <xf numFmtId="49" fontId="4" fillId="0" borderId="0" xfId="0" applyNumberFormat="1" applyFont="1" applyAlignment="1">
      <alignment horizontal="right"/>
    </xf>
    <xf numFmtId="0" fontId="4" fillId="0" borderId="11" xfId="0" applyFont="1" applyBorder="1" applyAlignment="1">
      <alignment wrapText="1"/>
    </xf>
    <xf numFmtId="0" fontId="2" fillId="0" borderId="13" xfId="0" applyFont="1" applyBorder="1"/>
    <xf numFmtId="0" fontId="5" fillId="0" borderId="0" xfId="0" applyFont="1" applyAlignment="1">
      <alignment wrapText="1"/>
    </xf>
    <xf numFmtId="0" fontId="8" fillId="4" borderId="0" xfId="0" applyFont="1" applyFill="1" applyAlignment="1">
      <alignment horizontal="left" wrapText="1"/>
    </xf>
    <xf numFmtId="0" fontId="3" fillId="0" borderId="8" xfId="0" applyFont="1" applyBorder="1" applyAlignment="1">
      <alignment horizontal="left" vertical="center" wrapText="1"/>
    </xf>
    <xf numFmtId="0" fontId="2" fillId="0" borderId="8" xfId="0" applyFont="1" applyBorder="1"/>
    <xf numFmtId="0" fontId="2" fillId="0" borderId="15" xfId="0" applyFont="1" applyBorder="1"/>
    <xf numFmtId="0" fontId="4" fillId="2" borderId="0" xfId="0" applyFont="1" applyFill="1" applyAlignment="1"/>
    <xf numFmtId="0" fontId="1" fillId="0" borderId="8" xfId="0" applyFont="1" applyBorder="1" applyAlignment="1">
      <alignment horizontal="left"/>
    </xf>
    <xf numFmtId="0" fontId="1" fillId="0" borderId="16" xfId="0" applyFont="1" applyBorder="1" applyAlignment="1">
      <alignment horizontal="left"/>
    </xf>
    <xf numFmtId="0" fontId="5" fillId="0" borderId="0" xfId="0" quotePrefix="1" applyFont="1" applyAlignment="1">
      <alignment horizontal="center"/>
    </xf>
    <xf numFmtId="0" fontId="4" fillId="2" borderId="10" xfId="0" applyFont="1" applyFill="1" applyBorder="1" applyAlignment="1">
      <alignment wrapText="1"/>
    </xf>
    <xf numFmtId="0" fontId="9" fillId="0" borderId="0" xfId="0" applyFont="1" applyAlignment="1">
      <alignment vertical="center"/>
    </xf>
    <xf numFmtId="0" fontId="10" fillId="0" borderId="0" xfId="0" applyFont="1" applyAlignment="1">
      <alignment horizontal="center"/>
    </xf>
    <xf numFmtId="0" fontId="10" fillId="0" borderId="0" xfId="0" applyFont="1" applyAlignment="1">
      <alignment horizontal="left"/>
    </xf>
    <xf numFmtId="0" fontId="9" fillId="0" borderId="0" xfId="0" applyFont="1" applyAlignment="1"/>
    <xf numFmtId="0" fontId="10" fillId="0" borderId="0" xfId="0" quotePrefix="1" applyFont="1" applyAlignment="1">
      <alignment horizontal="center"/>
    </xf>
    <xf numFmtId="0" fontId="1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zoomScale="59" workbookViewId="0">
      <selection activeCell="C20" sqref="C20"/>
    </sheetView>
  </sheetViews>
  <sheetFormatPr defaultColWidth="13.3984375" defaultRowHeight="15.75" customHeight="1" x14ac:dyDescent="0.3"/>
  <cols>
    <col min="1" max="1" width="31.8984375" customWidth="1"/>
    <col min="2" max="2" width="59.5" customWidth="1"/>
    <col min="3" max="3" width="17.8984375" customWidth="1"/>
    <col min="4" max="4" width="25" customWidth="1"/>
    <col min="5" max="5" width="11" customWidth="1"/>
    <col min="6" max="6" width="38.09765625" customWidth="1"/>
    <col min="7" max="7" width="28.09765625" customWidth="1"/>
    <col min="8" max="8" width="9" customWidth="1"/>
  </cols>
  <sheetData>
    <row r="1" spans="1:8" ht="30" customHeight="1" x14ac:dyDescent="0.6">
      <c r="A1" s="83" t="s">
        <v>40</v>
      </c>
      <c r="B1" s="57"/>
      <c r="C1" s="57"/>
      <c r="D1" s="57"/>
      <c r="E1" s="57"/>
      <c r="F1" s="57"/>
      <c r="G1" s="57"/>
      <c r="H1" s="57"/>
    </row>
    <row r="2" spans="1:8" ht="15" customHeight="1" x14ac:dyDescent="0.3">
      <c r="A2" s="1" t="s">
        <v>0</v>
      </c>
      <c r="B2" s="2">
        <v>202</v>
      </c>
      <c r="D2" s="3"/>
      <c r="E2" s="3"/>
    </row>
    <row r="3" spans="1:8" ht="15" customHeight="1" x14ac:dyDescent="0.3">
      <c r="A3" s="4" t="s">
        <v>1</v>
      </c>
      <c r="B3" s="1" t="s">
        <v>38</v>
      </c>
      <c r="C3" s="5"/>
      <c r="D3" s="3"/>
      <c r="E3" s="3"/>
      <c r="F3" s="5"/>
      <c r="G3" s="5"/>
      <c r="H3" s="5"/>
    </row>
    <row r="4" spans="1:8" ht="15" customHeight="1" x14ac:dyDescent="0.3">
      <c r="A4" s="4" t="s">
        <v>2</v>
      </c>
      <c r="B4" s="74" t="s">
        <v>39</v>
      </c>
      <c r="C4" s="75"/>
      <c r="D4" s="75"/>
      <c r="E4" s="3"/>
      <c r="F4" s="5"/>
      <c r="G4" s="5"/>
      <c r="H4" s="5"/>
    </row>
    <row r="5" spans="1:8" ht="15" customHeight="1" x14ac:dyDescent="0.3">
      <c r="A5" s="4" t="s">
        <v>3</v>
      </c>
      <c r="B5" s="1">
        <v>1</v>
      </c>
      <c r="C5" s="5"/>
      <c r="D5" s="3"/>
      <c r="E5" s="3"/>
      <c r="F5" s="5"/>
      <c r="G5" s="5"/>
      <c r="H5" s="5"/>
    </row>
    <row r="6" spans="1:8" ht="15" customHeight="1" x14ac:dyDescent="0.3">
      <c r="A6" s="6"/>
      <c r="B6" s="5"/>
      <c r="C6" s="5"/>
      <c r="D6" s="3"/>
      <c r="E6" s="3"/>
      <c r="F6" s="5"/>
      <c r="G6" s="5"/>
      <c r="H6" s="5"/>
    </row>
    <row r="7" spans="1:8" ht="15" customHeight="1" x14ac:dyDescent="0.3">
      <c r="A7" s="58" t="s">
        <v>4</v>
      </c>
      <c r="B7" s="59"/>
      <c r="C7" s="59"/>
      <c r="D7" s="59"/>
      <c r="E7" s="59"/>
      <c r="F7" s="59"/>
      <c r="G7" s="59"/>
      <c r="H7" s="60"/>
    </row>
    <row r="8" spans="1:8" ht="15" customHeight="1" x14ac:dyDescent="0.3">
      <c r="A8" s="7" t="s">
        <v>5</v>
      </c>
      <c r="B8" s="8" t="s">
        <v>6</v>
      </c>
      <c r="C8" s="8" t="s">
        <v>7</v>
      </c>
      <c r="D8" s="9" t="s">
        <v>8</v>
      </c>
      <c r="E8" s="9" t="s">
        <v>9</v>
      </c>
      <c r="F8" s="10" t="s">
        <v>10</v>
      </c>
      <c r="G8" s="11" t="s">
        <v>11</v>
      </c>
      <c r="H8" s="11" t="s">
        <v>12</v>
      </c>
    </row>
    <row r="9" spans="1:8" ht="15" customHeight="1" x14ac:dyDescent="0.3">
      <c r="A9" s="12"/>
      <c r="B9" t="s">
        <v>41</v>
      </c>
      <c r="C9" s="18" t="s">
        <v>42</v>
      </c>
      <c r="D9" s="76" t="s">
        <v>43</v>
      </c>
      <c r="E9" s="15">
        <v>1</v>
      </c>
      <c r="F9" s="13">
        <v>20</v>
      </c>
      <c r="G9" s="16">
        <v>20</v>
      </c>
      <c r="H9" s="17" t="s">
        <v>13</v>
      </c>
    </row>
    <row r="10" spans="1:8" ht="15" customHeight="1" x14ac:dyDescent="0.3">
      <c r="A10" s="12"/>
      <c r="B10" t="s">
        <v>46</v>
      </c>
      <c r="C10" s="18" t="s">
        <v>47</v>
      </c>
      <c r="D10" s="76" t="s">
        <v>45</v>
      </c>
      <c r="E10" s="15">
        <v>1</v>
      </c>
      <c r="F10" s="13">
        <v>2</v>
      </c>
      <c r="G10" s="16">
        <f t="shared" ref="G9:G13" si="0">E10*F10</f>
        <v>2</v>
      </c>
      <c r="H10" s="17" t="s">
        <v>13</v>
      </c>
    </row>
    <row r="11" spans="1:8" ht="15" customHeight="1" x14ac:dyDescent="0.3">
      <c r="A11" s="12"/>
      <c r="B11" t="s">
        <v>48</v>
      </c>
      <c r="C11" s="18" t="s">
        <v>49</v>
      </c>
      <c r="D11" s="15" t="s">
        <v>44</v>
      </c>
      <c r="E11" s="15">
        <v>1</v>
      </c>
      <c r="F11" s="13">
        <v>0.5</v>
      </c>
      <c r="G11" s="16">
        <f t="shared" si="0"/>
        <v>0.5</v>
      </c>
      <c r="H11" s="17" t="s">
        <v>13</v>
      </c>
    </row>
    <row r="12" spans="1:8" ht="15" customHeight="1" x14ac:dyDescent="0.3">
      <c r="A12" s="12"/>
      <c r="B12" s="19"/>
      <c r="C12" s="19"/>
      <c r="D12" s="20"/>
      <c r="E12" s="14"/>
      <c r="F12" s="19"/>
      <c r="G12" s="16"/>
      <c r="H12" s="17"/>
    </row>
    <row r="13" spans="1:8" ht="15" customHeight="1" x14ac:dyDescent="0.3">
      <c r="A13" s="12"/>
      <c r="B13" s="13"/>
      <c r="C13" s="19"/>
      <c r="D13" s="14"/>
      <c r="E13" s="15"/>
      <c r="F13" s="13"/>
      <c r="G13" s="16"/>
      <c r="H13" s="17"/>
    </row>
    <row r="14" spans="1:8" ht="15" customHeight="1" x14ac:dyDescent="0.3">
      <c r="A14" s="12"/>
      <c r="B14" s="19"/>
      <c r="C14" s="13"/>
      <c r="D14" s="14"/>
      <c r="E14" s="15"/>
      <c r="F14" s="13"/>
      <c r="G14" s="16"/>
      <c r="H14" s="17"/>
    </row>
    <row r="15" spans="1:8" ht="15" customHeight="1" x14ac:dyDescent="0.3">
      <c r="A15" s="21"/>
      <c r="B15" s="6"/>
      <c r="C15" s="22"/>
      <c r="D15" s="23"/>
      <c r="E15" s="3"/>
      <c r="F15" s="22"/>
      <c r="G15" s="24"/>
      <c r="H15" s="24"/>
    </row>
    <row r="16" spans="1:8" ht="15" customHeight="1" x14ac:dyDescent="0.3">
      <c r="A16" s="58" t="s">
        <v>15</v>
      </c>
      <c r="B16" s="59"/>
      <c r="C16" s="59"/>
      <c r="D16" s="59"/>
      <c r="E16" s="59"/>
      <c r="F16" s="59"/>
      <c r="G16" s="59"/>
      <c r="H16" s="60"/>
    </row>
    <row r="17" spans="1:8" ht="15" customHeight="1" x14ac:dyDescent="0.3">
      <c r="A17" s="25" t="s">
        <v>20</v>
      </c>
      <c r="B17" s="8" t="s">
        <v>6</v>
      </c>
      <c r="C17" s="8" t="s">
        <v>7</v>
      </c>
      <c r="D17" s="9" t="s">
        <v>8</v>
      </c>
      <c r="E17" s="9" t="s">
        <v>9</v>
      </c>
      <c r="F17" s="10" t="s">
        <v>10</v>
      </c>
      <c r="G17" s="11" t="s">
        <v>11</v>
      </c>
      <c r="H17" s="11" t="s">
        <v>12</v>
      </c>
    </row>
    <row r="18" spans="1:8" ht="15" customHeight="1" x14ac:dyDescent="0.3">
      <c r="A18" s="12"/>
      <c r="B18" s="18" t="s">
        <v>41</v>
      </c>
      <c r="C18" s="18" t="s">
        <v>42</v>
      </c>
      <c r="D18" s="76" t="s">
        <v>43</v>
      </c>
      <c r="E18" s="15">
        <v>1</v>
      </c>
      <c r="F18" s="18">
        <v>20</v>
      </c>
      <c r="G18" s="16">
        <f t="shared" ref="G18:G22" si="1">E18*F18</f>
        <v>20</v>
      </c>
      <c r="H18" s="17" t="s">
        <v>13</v>
      </c>
    </row>
    <row r="19" spans="1:8" ht="15" customHeight="1" x14ac:dyDescent="0.3">
      <c r="A19" s="12"/>
      <c r="B19" s="18" t="s">
        <v>46</v>
      </c>
      <c r="C19" s="18" t="s">
        <v>47</v>
      </c>
      <c r="D19" s="76" t="s">
        <v>45</v>
      </c>
      <c r="E19" s="15">
        <v>1</v>
      </c>
      <c r="F19" s="18">
        <v>2</v>
      </c>
      <c r="G19" s="16">
        <f t="shared" si="1"/>
        <v>2</v>
      </c>
      <c r="H19" s="17" t="s">
        <v>13</v>
      </c>
    </row>
    <row r="20" spans="1:8" ht="15" customHeight="1" x14ac:dyDescent="0.3">
      <c r="A20" s="12"/>
      <c r="B20" s="18" t="s">
        <v>48</v>
      </c>
      <c r="C20" s="18" t="s">
        <v>49</v>
      </c>
      <c r="D20" s="15" t="s">
        <v>44</v>
      </c>
      <c r="E20" s="15">
        <v>1</v>
      </c>
      <c r="F20" s="18">
        <v>0.5</v>
      </c>
      <c r="G20" s="16">
        <f t="shared" si="1"/>
        <v>0.5</v>
      </c>
      <c r="H20" s="17" t="s">
        <v>13</v>
      </c>
    </row>
    <row r="21" spans="1:8" ht="15" customHeight="1" x14ac:dyDescent="0.3">
      <c r="A21" s="12"/>
      <c r="B21" s="13"/>
      <c r="C21" s="13"/>
      <c r="D21" s="15"/>
      <c r="E21" s="15"/>
      <c r="F21" s="13"/>
      <c r="G21" s="16">
        <f t="shared" si="1"/>
        <v>0</v>
      </c>
      <c r="H21" s="17" t="s">
        <v>13</v>
      </c>
    </row>
    <row r="22" spans="1:8" ht="15" customHeight="1" x14ac:dyDescent="0.3">
      <c r="A22" s="12"/>
      <c r="C22" s="13"/>
      <c r="D22" s="15"/>
      <c r="E22" s="15"/>
      <c r="F22" s="13"/>
      <c r="G22" s="16">
        <f t="shared" si="1"/>
        <v>0</v>
      </c>
      <c r="H22" s="17" t="s">
        <v>13</v>
      </c>
    </row>
    <row r="23" spans="1:8" ht="15" customHeight="1" x14ac:dyDescent="0.3">
      <c r="A23" s="12"/>
      <c r="B23" s="61" t="s">
        <v>16</v>
      </c>
      <c r="C23" s="57"/>
      <c r="D23" s="57"/>
      <c r="E23" s="57"/>
      <c r="F23" s="57"/>
      <c r="G23" s="16">
        <f>SUM(G18:G22)</f>
        <v>22.5</v>
      </c>
      <c r="H23" s="17" t="s">
        <v>13</v>
      </c>
    </row>
    <row r="24" spans="1:8" ht="15" customHeight="1" x14ac:dyDescent="0.3">
      <c r="A24" s="12"/>
      <c r="B24" s="61" t="s">
        <v>17</v>
      </c>
      <c r="C24" s="57"/>
      <c r="D24" s="57"/>
      <c r="E24" s="57"/>
      <c r="F24" s="57"/>
      <c r="G24" s="27">
        <v>0.25</v>
      </c>
      <c r="H24" s="27"/>
    </row>
    <row r="25" spans="1:8" ht="15" customHeight="1" x14ac:dyDescent="0.3">
      <c r="A25" s="28"/>
      <c r="B25" s="62" t="s">
        <v>21</v>
      </c>
      <c r="C25" s="57"/>
      <c r="D25" s="57"/>
      <c r="E25" s="57"/>
      <c r="F25" s="57"/>
      <c r="G25" s="16">
        <f>G23*(1+G24)</f>
        <v>28.125</v>
      </c>
      <c r="H25" s="17" t="s">
        <v>13</v>
      </c>
    </row>
    <row r="26" spans="1:8" ht="15" customHeight="1" x14ac:dyDescent="0.3">
      <c r="A26" s="29"/>
      <c r="B26" s="30"/>
      <c r="C26" s="30"/>
      <c r="D26" s="14"/>
      <c r="E26" s="14"/>
      <c r="F26" s="31"/>
      <c r="G26" s="32"/>
      <c r="H26" s="16"/>
    </row>
    <row r="27" spans="1:8" ht="15" customHeight="1" x14ac:dyDescent="0.3">
      <c r="A27" s="29" t="s">
        <v>18</v>
      </c>
      <c r="B27" s="81" t="s">
        <v>50</v>
      </c>
      <c r="C27" s="30" t="s">
        <v>51</v>
      </c>
      <c r="D27" s="76" t="s">
        <v>52</v>
      </c>
      <c r="E27" s="14">
        <v>1</v>
      </c>
      <c r="F27" s="31">
        <v>1000</v>
      </c>
      <c r="G27" s="32">
        <f>E27*F27</f>
        <v>1000</v>
      </c>
      <c r="H27" s="17" t="s">
        <v>13</v>
      </c>
    </row>
    <row r="28" spans="1:8" ht="15" customHeight="1" x14ac:dyDescent="0.3">
      <c r="A28" s="33"/>
      <c r="B28" s="63" t="s">
        <v>19</v>
      </c>
      <c r="C28" s="64"/>
      <c r="D28" s="64"/>
      <c r="E28" s="64"/>
      <c r="F28" s="64"/>
      <c r="G28" s="32">
        <f>G27-G25</f>
        <v>971.875</v>
      </c>
      <c r="H28" s="17" t="s">
        <v>13</v>
      </c>
    </row>
    <row r="29" spans="1:8" ht="15" customHeight="1" x14ac:dyDescent="0.3">
      <c r="A29" s="58" t="s">
        <v>22</v>
      </c>
      <c r="B29" s="59"/>
      <c r="C29" s="59"/>
      <c r="D29" s="59"/>
      <c r="E29" s="59"/>
      <c r="F29" s="59"/>
      <c r="G29" s="59"/>
      <c r="H29" s="60"/>
    </row>
    <row r="30" spans="1:8" ht="15" customHeight="1" x14ac:dyDescent="0.3">
      <c r="A30" s="66"/>
      <c r="B30" s="64"/>
      <c r="C30" s="64"/>
      <c r="D30" s="64"/>
      <c r="E30" s="64"/>
      <c r="F30" s="64"/>
      <c r="G30" s="64"/>
      <c r="H30" s="67"/>
    </row>
    <row r="31" spans="1:8" ht="15" customHeight="1" x14ac:dyDescent="0.3">
      <c r="A31" s="58" t="s">
        <v>23</v>
      </c>
      <c r="B31" s="59"/>
      <c r="C31" s="59"/>
      <c r="D31" s="59"/>
      <c r="E31" s="59"/>
      <c r="F31" s="59"/>
      <c r="G31" s="59"/>
      <c r="H31" s="60"/>
    </row>
    <row r="32" spans="1:8" ht="15" customHeight="1" x14ac:dyDescent="0.3">
      <c r="A32" s="25" t="s">
        <v>24</v>
      </c>
      <c r="B32" s="8" t="s">
        <v>6</v>
      </c>
      <c r="C32" s="8" t="s">
        <v>7</v>
      </c>
      <c r="D32" s="9" t="s">
        <v>8</v>
      </c>
      <c r="E32" s="40" t="s">
        <v>25</v>
      </c>
      <c r="F32" s="10" t="s">
        <v>10</v>
      </c>
      <c r="G32" s="34" t="s">
        <v>11</v>
      </c>
      <c r="H32" s="34" t="s">
        <v>12</v>
      </c>
    </row>
    <row r="33" spans="1:8" ht="15" customHeight="1" x14ac:dyDescent="0.3">
      <c r="A33" s="41" t="s">
        <v>26</v>
      </c>
      <c r="B33" t="s">
        <v>53</v>
      </c>
      <c r="C33" s="78" t="s">
        <v>54</v>
      </c>
      <c r="D33" s="82" t="s">
        <v>57</v>
      </c>
      <c r="E33" s="79" t="s">
        <v>29</v>
      </c>
      <c r="F33" s="31">
        <v>1300</v>
      </c>
      <c r="G33" s="42">
        <v>1300</v>
      </c>
      <c r="H33" s="43" t="s">
        <v>13</v>
      </c>
    </row>
    <row r="34" spans="1:8" ht="15" customHeight="1" x14ac:dyDescent="0.3">
      <c r="A34" s="44"/>
      <c r="B34" s="30"/>
      <c r="C34" s="30"/>
      <c r="D34" s="14"/>
      <c r="E34" s="14"/>
      <c r="F34" s="31"/>
      <c r="G34" s="32"/>
      <c r="H34" s="45"/>
    </row>
    <row r="35" spans="1:8" ht="15" customHeight="1" x14ac:dyDescent="0.3">
      <c r="A35" s="70" t="s">
        <v>27</v>
      </c>
      <c r="B35" s="30"/>
      <c r="C35" s="30"/>
      <c r="D35" s="14"/>
      <c r="E35" s="14"/>
      <c r="F35" s="31"/>
      <c r="G35" s="32">
        <f t="shared" ref="G35:G37" si="2">E35*F35</f>
        <v>0</v>
      </c>
      <c r="H35" s="17" t="s">
        <v>13</v>
      </c>
    </row>
    <row r="36" spans="1:8" ht="15" customHeight="1" x14ac:dyDescent="0.3">
      <c r="A36" s="71"/>
      <c r="B36" s="80" t="s">
        <v>56</v>
      </c>
      <c r="C36" s="80" t="s">
        <v>55</v>
      </c>
      <c r="D36" s="14" t="s">
        <v>14</v>
      </c>
      <c r="E36" s="14">
        <v>1</v>
      </c>
      <c r="F36" s="31">
        <v>1000</v>
      </c>
      <c r="G36" s="32">
        <f t="shared" si="2"/>
        <v>1000</v>
      </c>
      <c r="H36" s="17" t="s">
        <v>13</v>
      </c>
    </row>
    <row r="37" spans="1:8" ht="15" customHeight="1" x14ac:dyDescent="0.3">
      <c r="A37" s="71"/>
      <c r="B37" s="19"/>
      <c r="C37" s="18"/>
      <c r="D37" s="14"/>
      <c r="E37" s="15"/>
      <c r="F37" s="18"/>
      <c r="G37" s="55">
        <f t="shared" si="2"/>
        <v>0</v>
      </c>
      <c r="H37" s="17" t="s">
        <v>13</v>
      </c>
    </row>
    <row r="38" spans="1:8" ht="15" customHeight="1" x14ac:dyDescent="0.3">
      <c r="A38" s="44"/>
      <c r="B38" s="65" t="s">
        <v>28</v>
      </c>
      <c r="C38" s="57"/>
      <c r="D38" s="57"/>
      <c r="E38" s="57"/>
      <c r="F38" s="57"/>
      <c r="G38" s="42">
        <f>G33-SUM(G35:G37)</f>
        <v>300</v>
      </c>
      <c r="H38" s="43" t="s">
        <v>13</v>
      </c>
    </row>
    <row r="39" spans="1:8" ht="15" customHeight="1" x14ac:dyDescent="0.3">
      <c r="A39" s="77" t="s">
        <v>30</v>
      </c>
      <c r="B39" s="72"/>
      <c r="C39" s="72"/>
      <c r="D39" s="72"/>
      <c r="E39" s="72"/>
      <c r="F39" s="60"/>
      <c r="G39" s="48"/>
      <c r="H39" s="48"/>
    </row>
    <row r="40" spans="1:8" ht="15" customHeight="1" x14ac:dyDescent="0.3">
      <c r="A40" s="49"/>
      <c r="B40" s="50" t="s">
        <v>6</v>
      </c>
      <c r="C40" s="50" t="s">
        <v>7</v>
      </c>
      <c r="D40" s="51" t="s">
        <v>8</v>
      </c>
      <c r="E40" s="51"/>
      <c r="F40" s="52" t="s">
        <v>31</v>
      </c>
      <c r="G40" s="53" t="s">
        <v>32</v>
      </c>
      <c r="H40" s="54"/>
    </row>
    <row r="41" spans="1:8" ht="15" customHeight="1" x14ac:dyDescent="0.3">
      <c r="A41" s="35"/>
      <c r="B41" s="18" t="s">
        <v>59</v>
      </c>
      <c r="C41" s="78" t="s">
        <v>58</v>
      </c>
      <c r="D41" s="79" t="s">
        <v>29</v>
      </c>
      <c r="E41" s="15"/>
      <c r="F41" s="19">
        <v>480</v>
      </c>
      <c r="G41" s="55">
        <v>22.5</v>
      </c>
      <c r="H41" s="55"/>
    </row>
    <row r="42" spans="1:8" ht="15" customHeight="1" x14ac:dyDescent="0.3">
      <c r="A42" s="35"/>
      <c r="B42" s="18"/>
      <c r="C42" s="18"/>
      <c r="D42" s="15"/>
      <c r="E42" s="15"/>
      <c r="F42" s="26" t="s">
        <v>33</v>
      </c>
      <c r="G42" s="55">
        <f>F41/G41</f>
        <v>21.333333333333332</v>
      </c>
      <c r="H42" s="17" t="s">
        <v>34</v>
      </c>
    </row>
    <row r="43" spans="1:8" ht="15" customHeight="1" x14ac:dyDescent="0.3">
      <c r="A43" s="73" t="s">
        <v>35</v>
      </c>
      <c r="B43" s="57"/>
      <c r="C43" s="57"/>
      <c r="D43" s="57"/>
      <c r="E43" s="57"/>
      <c r="F43" s="57"/>
      <c r="G43" s="56"/>
      <c r="H43" s="56"/>
    </row>
    <row r="44" spans="1:8" ht="15" customHeight="1" x14ac:dyDescent="0.3">
      <c r="A44" s="68" t="s">
        <v>36</v>
      </c>
      <c r="B44" s="57"/>
      <c r="C44" s="57"/>
      <c r="D44" s="57"/>
      <c r="E44" s="57"/>
      <c r="F44" s="57"/>
      <c r="G44" s="57"/>
      <c r="H44" s="57"/>
    </row>
    <row r="45" spans="1:8" ht="15" customHeight="1" x14ac:dyDescent="0.3">
      <c r="A45" s="69" t="s">
        <v>37</v>
      </c>
      <c r="B45" s="57"/>
      <c r="C45" s="57"/>
      <c r="D45" s="57"/>
      <c r="E45" s="57"/>
      <c r="F45" s="57"/>
      <c r="G45" s="57"/>
      <c r="H45" s="57"/>
    </row>
    <row r="46" spans="1:8" ht="15" customHeight="1" x14ac:dyDescent="0.3"/>
    <row r="47" spans="1:8" ht="15" customHeight="1" x14ac:dyDescent="0.3">
      <c r="A47" s="28"/>
      <c r="B47" s="19"/>
      <c r="C47" s="18"/>
      <c r="D47" s="46"/>
      <c r="E47" s="14"/>
      <c r="F47" s="19"/>
      <c r="G47" s="55"/>
      <c r="H47" s="47"/>
    </row>
    <row r="48" spans="1:8" ht="15" customHeight="1" x14ac:dyDescent="0.3"/>
    <row r="49" spans="1:8" ht="15" customHeight="1" x14ac:dyDescent="0.3"/>
    <row r="50" spans="1:8" ht="15" customHeight="1" x14ac:dyDescent="0.3"/>
    <row r="51" spans="1:8" ht="15" customHeight="1" x14ac:dyDescent="0.3"/>
    <row r="52" spans="1:8" ht="15" customHeight="1" x14ac:dyDescent="0.3"/>
    <row r="53" spans="1:8" ht="15" customHeight="1" x14ac:dyDescent="0.3"/>
    <row r="54" spans="1:8" ht="15" customHeight="1" x14ac:dyDescent="0.3"/>
    <row r="55" spans="1:8" ht="15" customHeight="1" x14ac:dyDescent="0.3"/>
    <row r="56" spans="1:8" ht="15" customHeight="1" x14ac:dyDescent="0.3"/>
    <row r="57" spans="1:8" ht="15" customHeight="1" x14ac:dyDescent="0.3"/>
    <row r="58" spans="1:8" ht="15" customHeight="1" x14ac:dyDescent="0.3"/>
    <row r="59" spans="1:8" ht="15" customHeight="1" x14ac:dyDescent="0.3"/>
    <row r="60" spans="1:8" ht="15" customHeight="1" x14ac:dyDescent="0.3"/>
    <row r="61" spans="1:8" ht="15" customHeight="1" x14ac:dyDescent="0.3"/>
    <row r="62" spans="1:8" ht="15" customHeight="1" x14ac:dyDescent="0.3"/>
    <row r="63" spans="1:8" ht="15" customHeight="1" x14ac:dyDescent="0.3">
      <c r="A63" s="36"/>
      <c r="B63" s="37"/>
      <c r="C63" s="37"/>
      <c r="D63" s="37"/>
      <c r="E63" s="37"/>
      <c r="F63" s="37"/>
      <c r="G63" s="38"/>
      <c r="H63" s="39"/>
    </row>
    <row r="64" spans="1:8"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sheetData>
  <mergeCells count="17">
    <mergeCell ref="A39:F39"/>
    <mergeCell ref="A43:F43"/>
    <mergeCell ref="A44:H44"/>
    <mergeCell ref="A45:H45"/>
    <mergeCell ref="B38:F38"/>
    <mergeCell ref="B25:F25"/>
    <mergeCell ref="B28:F28"/>
    <mergeCell ref="A29:H29"/>
    <mergeCell ref="A30:H30"/>
    <mergeCell ref="A31:H31"/>
    <mergeCell ref="A35:A37"/>
    <mergeCell ref="A1:H1"/>
    <mergeCell ref="A7:H7"/>
    <mergeCell ref="A16:H16"/>
    <mergeCell ref="B23:F23"/>
    <mergeCell ref="B24:F24"/>
    <mergeCell ref="B4:D4"/>
  </mergeCells>
  <conditionalFormatting sqref="G28">
    <cfRule type="cellIs" dxfId="0" priority="1" operator="lessThan">
      <formula>0</formula>
    </cfRule>
  </conditionalFormatting>
  <pageMargins left="0.7" right="0.7" top="0.75" bottom="0.75" header="0.3" footer="0.3"/>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Branden Cluff (Student)</cp:lastModifiedBy>
  <cp:lastPrinted>2026-10-16T23:33:59Z</cp:lastPrinted>
  <dcterms:created xsi:type="dcterms:W3CDTF">2026-10-16T23:33:20Z</dcterms:created>
  <dcterms:modified xsi:type="dcterms:W3CDTF">2026-10-16T23:37:35Z</dcterms:modified>
</cp:coreProperties>
</file>