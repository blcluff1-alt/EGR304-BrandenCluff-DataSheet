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8f1be6e4fea5a/Documents/"/>
    </mc:Choice>
  </mc:AlternateContent>
  <xr:revisionPtr revIDLastSave="5" documentId="8_{62EE5E6B-DE0E-4890-90E5-F6566D34BDEE}" xr6:coauthVersionLast="47" xr6:coauthVersionMax="47" xr10:uidLastSave="{CBD735C5-158E-4119-BEB3-4E60242F3F5C}"/>
  <bookViews>
    <workbookView xWindow="-108" yWindow="-108" windowWidth="23256" windowHeight="12456" xr2:uid="{53B96AE8-5E61-4D00-8D3B-34CD8BE69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1" l="1"/>
  <c r="D17" i="1"/>
  <c r="F16" i="1"/>
  <c r="D16" i="1"/>
  <c r="F15" i="1"/>
  <c r="D15" i="1"/>
  <c r="F14" i="1"/>
  <c r="D14" i="1"/>
  <c r="F13" i="1"/>
  <c r="D13" i="1"/>
  <c r="F3" i="1"/>
  <c r="F4" i="1"/>
  <c r="F5" i="1"/>
  <c r="F6" i="1"/>
  <c r="F7" i="1"/>
  <c r="F8" i="1"/>
  <c r="F9" i="1"/>
  <c r="F10" i="1"/>
  <c r="F11" i="1"/>
  <c r="F12" i="1"/>
  <c r="F2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<sst xmlns="http://schemas.openxmlformats.org/spreadsheetml/2006/main" count="142" uniqueCount="100">
  <si>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</si>
  <si>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</si>
  <si>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</si>
  <si>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</si>
  <si>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</si>
  <si>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</si>
  <si>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</si>
  <si>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</si>
  <si>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</si>
  <si>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</si>
  <si>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</si>
  <si>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</si>
  <si>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</si>
  <si>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</si>
  <si>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</si>
  <si>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</si>
  <si>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</si>
  <si>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SW1</t>
  </si>
  <si>
    <t>D1</t>
  </si>
  <si>
    <t>0.1 uF, 16V</t>
  </si>
  <si>
    <t>0.33 uF, 25V</t>
  </si>
  <si>
    <t>Green LED</t>
  </si>
  <si>
    <t>Yellow LED</t>
  </si>
  <si>
    <t>Conn_01x08_Pin</t>
  </si>
  <si>
    <t>Barrel_Jack</t>
  </si>
  <si>
    <t>BC_PhotoResistor</t>
  </si>
  <si>
    <t>10K, 0.25w</t>
  </si>
  <si>
    <t>100 Ohms, 0.25w</t>
  </si>
  <si>
    <t>330 Ohms, 0.25W</t>
  </si>
  <si>
    <t>Button</t>
  </si>
  <si>
    <t>TestPoint</t>
  </si>
  <si>
    <t>BC_MCP6004</t>
  </si>
  <si>
    <t>Advanced Photonix</t>
  </si>
  <si>
    <t>Digikey</t>
  </si>
  <si>
    <t>PDV Datasheet</t>
  </si>
  <si>
    <t>Microchip Technology</t>
  </si>
  <si>
    <t>MCP6004 Datasheet</t>
  </si>
  <si>
    <t>BC_LM7805_DMA</t>
  </si>
  <si>
    <t>L7805CV</t>
  </si>
  <si>
    <t>STMicroelectronics</t>
  </si>
  <si>
    <t>L7805 Datasheet</t>
  </si>
  <si>
    <t>PDV-P8103</t>
  </si>
  <si>
    <t>MCP6004-I/P</t>
  </si>
  <si>
    <t>C1,C2,C3,C5</t>
  </si>
  <si>
    <t>C4</t>
  </si>
  <si>
    <t>D2</t>
  </si>
  <si>
    <t>F1</t>
  </si>
  <si>
    <t>J1</t>
  </si>
  <si>
    <t>J2</t>
  </si>
  <si>
    <t>R1</t>
  </si>
  <si>
    <t>R3</t>
  </si>
  <si>
    <t>TP1,TP2,TP3,TP4,TP5,TP6,TP7</t>
  </si>
  <si>
    <t>DM164150</t>
  </si>
  <si>
    <t>BC_PIC18F57Q43_Nano</t>
  </si>
  <si>
    <t>U3</t>
  </si>
  <si>
    <t>U2</t>
  </si>
  <si>
    <t>U1</t>
  </si>
  <si>
    <t>PIC Datasheet</t>
  </si>
  <si>
    <t>TAP104M050SCS</t>
  </si>
  <si>
    <t>KYOCERA AVX</t>
  </si>
  <si>
    <t>C322C334M5U5TA</t>
  </si>
  <si>
    <t>0.3cap Datasheet</t>
  </si>
  <si>
    <t>KEMET</t>
  </si>
  <si>
    <t>0.1Cap datasheet</t>
  </si>
  <si>
    <t>SLR-56MG3F</t>
  </si>
  <si>
    <t>Rohm Semiconductor</t>
  </si>
  <si>
    <t>Greenled Datasheet</t>
  </si>
  <si>
    <t>SLR-56YY3F</t>
  </si>
  <si>
    <t>yellowled Datasheet</t>
  </si>
  <si>
    <t>500 mA Fuse</t>
  </si>
  <si>
    <t>0251.500MRT1L</t>
  </si>
  <si>
    <t>Littelfuse Inc.</t>
  </si>
  <si>
    <t>Fuse Datasheet</t>
  </si>
  <si>
    <t>Jack Datasheet</t>
  </si>
  <si>
    <t>Button Datasheet</t>
  </si>
  <si>
    <t>Adafruit Industries LLC</t>
  </si>
  <si>
    <t>Same Sky (Formerly CUI Devices)</t>
  </si>
  <si>
    <t>PJ-102A</t>
  </si>
  <si>
    <t>TL1105AF160Q</t>
  </si>
  <si>
    <t>E-Switch</t>
  </si>
  <si>
    <t>CF1/4CT52R103J</t>
  </si>
  <si>
    <t>KOA Speer Electronics, Inc.</t>
  </si>
  <si>
    <t>10k Datasheet</t>
  </si>
  <si>
    <t>CF1/4CT52R101J</t>
  </si>
  <si>
    <t>100 Datasheet</t>
  </si>
  <si>
    <t>CF1/4CT52R331J</t>
  </si>
  <si>
    <t>330 Datasheet</t>
  </si>
  <si>
    <t>Keystone Electronics</t>
  </si>
  <si>
    <t>Test Datasheet</t>
  </si>
  <si>
    <t>R^,R7</t>
  </si>
  <si>
    <t>R2,R4,R5,R8</t>
  </si>
  <si>
    <t>Peralta 109</t>
  </si>
  <si>
    <t>n/a</t>
  </si>
  <si>
    <t>F3167TR-ND</t>
  </si>
  <si>
    <t>36-5001-ND</t>
  </si>
  <si>
    <t>1528-4939-ND</t>
  </si>
  <si>
    <t>CP-102A-ND</t>
  </si>
  <si>
    <t>PDV-P8103-ND</t>
  </si>
  <si>
    <t>MCP6004-I/P-ND</t>
  </si>
  <si>
    <t>497-1443-5-ND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</si>
</sst>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1" fillId="0" borderId="0" xfId="1" applyAlignment="1">
      <alignment vertical="center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icrochip-technology/DM164150/11586705?gclsrc=aw.ds&amp;gad_source=1&amp;gad_campaignid=20790518593&amp;gclid=CjwKCAjwgJHXBhBGEiwAHohJqwsuEBSjFNHQit2SplMs7yzmA1NhVgBR86gzpGKmbvr7zq6M7cGN9xoCAB0QAvD_BwE" TargetMode="External"/><Relationship Id="rId13" Type="http://schemas.openxmlformats.org/officeDocument/2006/relationships/hyperlink" Target="https://fscdn.rohm.com/en/products/databook/datasheet/opto/led/lamp_mono/slr-56-e.pdf" TargetMode="External"/><Relationship Id="rId18" Type="http://schemas.openxmlformats.org/officeDocument/2006/relationships/hyperlink" Target="https://www.digikey.com/en/products/detail/adafruit-industries-llc/4939/14552336?gclsrc=aw.ds&amp;gad_source=4&amp;gad_campaignid=20232005509&amp;gclid=CjwKCAjwgJHXBhBGEiwAHohJq9r6-C1hTq4a6uH_DHYv30yLPrzbkrLWWPIaDYDZkG39LV-oaYXUZhoCjz0QAvD_BwE" TargetMode="External"/><Relationship Id="rId26" Type="http://schemas.openxmlformats.org/officeDocument/2006/relationships/hyperlink" Target="https://www.koaspeer.com/pdfs/CF.pdf" TargetMode="External"/><Relationship Id="rId3" Type="http://schemas.openxmlformats.org/officeDocument/2006/relationships/hyperlink" Target="https://www.digikey.com/en/products/detail/kyocera-avx/TAP104M050SCS/1471017?gclsrc=aw.ds&amp;gad_source=4&amp;gad_campaignid=20682862038&amp;gclid=CjwKCAjwgJHXBhBGEiwAHohJqybkHVlYOeW4ZLN2su9iVsQpnXRBIBZtd4v0UKHVz0Q5XBUrmICHcRoCYAkQAvD_BwE" TargetMode="External"/><Relationship Id="rId21" Type="http://schemas.openxmlformats.org/officeDocument/2006/relationships/hyperlink" Target="https://www.digikey.com/en/products/detail/e-switch/TL1105AF160Q/80826?gclsrc=aw.ds&amp;gad_source=4&amp;gad_campaignid=20504615652&amp;gclid=CjwKCAjwgJHXBhBGEiwAHohJq_lrryxaBfA2vzX1dNfmpTp51NhYwuUYXy5LGXpjQN6HQinj86MZbRoCEV4QAvD_BwE" TargetMode="External"/><Relationship Id="rId7" Type="http://schemas.openxmlformats.org/officeDocument/2006/relationships/hyperlink" Target="https://www.digikey.com/en/products/detail/microchip-technology/MCP6004-I-P/523060?gclsrc=aw.ds&amp;gad_source=1&amp;gad_campaignid=20790518593&amp;gclid=CjwKCAjwgJHXBhBGEiwAHohJqyuVfdo2YdkUnT4d3mdmiZOh9nCu3l0kOTCRghjtRDijOkRB5v9GIBoCCl8QAvD_BwE" TargetMode="External"/><Relationship Id="rId12" Type="http://schemas.openxmlformats.org/officeDocument/2006/relationships/hyperlink" Target="https://www.digikey.com/en/products/detail/rohm-semiconductor/SLR-56MG3F/636990?gclsrc=aw.ds&amp;gad_source=4&amp;gad_campaignid=20747733577&amp;gclid=CjwKCAjwgJHXBhBGEiwAHohJq1Iz6Us4SMXh-2hyVz13Is2iBZq_dJDEK7mNE0uoL-MTFtohvEiyhhoC5E8QAvD_BwE" TargetMode="External"/><Relationship Id="rId17" Type="http://schemas.openxmlformats.org/officeDocument/2006/relationships/hyperlink" Target="https://www.littelfuse.com/assetdocs/littelfuse-fuse-251-253-datasheet?assetguid=f47a0bb7-8ede-4679-9646-7114c3787688" TargetMode="External"/><Relationship Id="rId25" Type="http://schemas.openxmlformats.org/officeDocument/2006/relationships/hyperlink" Target="https://www.digikey.com/en/products/detail/koa-speer-electronics-inc/CF1-4CT52R101J/13537592?gclsrc=aw.ds&amp;gad_source=4&amp;gad_campaignid=20232005509&amp;gclid=CjwKCAjwgJHXBhBGEiwAHohJq4WUhpRODvUQCIwbqH2ri77jQlI-w4l318CPsrsfMlKaiklES45e8xoCjnsQAvD_BwE" TargetMode="External"/><Relationship Id="rId2" Type="http://schemas.openxmlformats.org/officeDocument/2006/relationships/hyperlink" Target="https://www.advancedphotonix.com/wp-content/uploads/2015/07/DS-PDV-P8103.pdf" TargetMode="External"/><Relationship Id="rId16" Type="http://schemas.openxmlformats.org/officeDocument/2006/relationships/hyperlink" Target="https://www.digikey.com/en/products/detail/littelfuse-inc/0251.500MRT1L/700709?gclsrc=aw.ds&amp;gad_source=4&amp;gad_campaignid=20509825838&amp;gclid=CjwKCAjwgJHXBhBGEiwAHohJq-jPmKSb2sa_Y7CB7z7ISCY6M71H7wCyfuZ7mGpWAEqpxMtPnb8BLxoCCcIQAvD_BwE" TargetMode="External"/><Relationship Id="rId20" Type="http://schemas.openxmlformats.org/officeDocument/2006/relationships/hyperlink" Target="https://www.sameskydevices.com/product/resource/pj-102a.pdf" TargetMode="External"/><Relationship Id="rId29" Type="http://schemas.openxmlformats.org/officeDocument/2006/relationships/hyperlink" Target="https://www.digikey.com/en/products/detail/keystone-electronics/5001/255327?gclsrc=aw.ds&amp;gad_source=4&amp;gad_campaignid=20228387720&amp;gclid=CjwKCAjwgJHXBhBGEiwAHohJq9vHsifLLj44vbJ8GDuHwk-J4tIhFB0pLwIen_Qrw4rvr_4jVqyZ8hoCCv8QAvD_BwE" TargetMode="External"/><Relationship Id="rId1" Type="http://schemas.openxmlformats.org/officeDocument/2006/relationships/hyperlink" Target="https://www.digikey.com/en/products/detail/advanced-photonix/PDV-P8103/480610?gclsrc=aw.ds&amp;gad_source=1&amp;gad_campaignid=20232005509&amp;gclid=CjwKCAjw88HWBhA3EiwAo2Zd6ItJudJQgGAMYT0UdEfhO8QxFR5CcLx-1gv10VwK_xdwT0Irrl9zuBoCCXIQAvD_BwE" TargetMode="External"/><Relationship Id="rId6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11" Type="http://schemas.openxmlformats.org/officeDocument/2006/relationships/hyperlink" Target="https://yageogroup.com/content/datasheet/asset/file/KEM_C1051_GOLDMAX_Z5U" TargetMode="External"/><Relationship Id="rId24" Type="http://schemas.openxmlformats.org/officeDocument/2006/relationships/hyperlink" Target="https://www.koaspeer.com/pdfs/CF.pdf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stmicroelectronics/L7805CV/585964?gclsrc=aw.ds&amp;gad_source=4&amp;gad_campaignid=24216345527&amp;gclid=CjwKCAjw88HWBhA3EiwAo2Zd6CxCh2O9be1WQWI78UesoRwUkcHCLdEhWNnG7OsbKwciV7ROlTCfPBoCBhcQAvD_BwE" TargetMode="External"/><Relationship Id="rId15" Type="http://schemas.openxmlformats.org/officeDocument/2006/relationships/hyperlink" Target="https://fscdn.rohm.com/en/products/databook/datasheet/opto/led/lamp_mono/slr-56-e.pdf" TargetMode="External"/><Relationship Id="rId23" Type="http://schemas.openxmlformats.org/officeDocument/2006/relationships/hyperlink" Target="https://www.digikey.com/en/products/detail/koa-speer-electronics-inc/CF1-4CT52R103J/13537366?gclsrc=aw.ds&amp;gad_source=4&amp;gad_campaignid=20232005509&amp;gclid=CjwKCAjwgJHXBhBGEiwAHohJq6Bkfq6zswgtdpTjm5fckgoZ69uGS8ERcIRvDLmTMgixgv2whov4VhoCb-sQAvD_BwE" TargetMode="External"/><Relationship Id="rId28" Type="http://schemas.openxmlformats.org/officeDocument/2006/relationships/hyperlink" Target="https://www.koaspeer.com/pdfs/CF.pdf" TargetMode="External"/><Relationship Id="rId10" Type="http://schemas.openxmlformats.org/officeDocument/2006/relationships/hyperlink" Target="https://www.digikey.com/en/products/detail/kemet/C322C334M5U5TA/818140?gclsrc=aw.ds&amp;gad_source=4&amp;gad_campaignid=20228387720&amp;gclid=CjwKCAjwgJHXBhBGEiwAHohJqxS5bRpJcPvQ5BWWSIF-Z-rScKeW8SXEUF-4LTrPjnZyo0tGQaAucBoC2aMQAvD_BwE" TargetMode="External"/><Relationship Id="rId19" Type="http://schemas.openxmlformats.org/officeDocument/2006/relationships/hyperlink" Target="https://www.digikey.com/en/products/detail/same-sky-formerly-cui-devices-/PJ-102A/275425?gclsrc=aw.ds&amp;gad_source=1&amp;gad_campaignid=22396853673&amp;gclid=Cj0KCQjw3YvXBhCDARIsAKB-ox8YXqvRpQcZ6absr855r3gU1TrPplaT11ZXXggxmJyvPmlaOrgpTjQaAiJUEALw_wcB" TargetMode="External"/><Relationship Id="rId31" Type="http://schemas.openxmlformats.org/officeDocument/2006/relationships/hyperlink" Target="https://ww1.microchip.com/downloads/en/DeviceDoc/MCP6001-1R-1U-2-4-1-MHz-Low-Power-Op-Amp-DS20001733L.pdf" TargetMode="External"/><Relationship Id="rId4" Type="http://schemas.openxmlformats.org/officeDocument/2006/relationships/hyperlink" Target="https://datasheets.kyocera-avx.com/tap.pdf" TargetMode="External"/><Relationship Id="rId9" Type="http://schemas.openxmlformats.org/officeDocument/2006/relationships/hyperlink" Target="https://ww1.microchip.com/downloads/aemDocuments/documents/MCU08/ProductDocuments/UserGuides/PIC18F57Q43-Curiosity-Nano-HW-UserGuide-DS40002186B.pdf" TargetMode="External"/><Relationship Id="rId14" Type="http://schemas.openxmlformats.org/officeDocument/2006/relationships/hyperlink" Target="https://www.digikey.com/en/products/detail/rohm-semiconductor/SLR-56YY3F/636994?gclsrc=aw.ds&amp;gad_source=4&amp;gad_campaignid=20747733577&amp;gclid=CjwKCAjwgJHXBhBGEiwAHohJq4dBpHOWdM_-Qqx8_L1gwsewf6Jt5benSJLHcTxNEWzuoI6vnIW8zRoC5MwQAvD_BwE" TargetMode="External"/><Relationship Id="rId22" Type="http://schemas.openxmlformats.org/officeDocument/2006/relationships/hyperlink" Target="https://configured-product-images.s3.amazonaws.com/Datasheets/TL1105.pdf" TargetMode="External"/><Relationship Id="rId27" Type="http://schemas.openxmlformats.org/officeDocument/2006/relationships/hyperlink" Target="https://www.digikey.com/en/products/detail/koa-speer-electronics-inc/CF1-4CT52R331J/13537270?gclsrc=aw.ds&amp;gad_source=4&amp;gad_campaignid=20232005509&amp;gclid=CjwKCAjwgJHXBhBGEiwAHohJq5iPClKwDf6BXodQTZgUzV03scRTh-yXBFzH6YjasV6ISYDZZCoPZhoCodAQAvD_BwE" TargetMode="External"/><Relationship Id="rId30" Type="http://schemas.openxmlformats.org/officeDocument/2006/relationships/hyperlink" Target="https://www.keyelco.com/userAssets/file/K75p6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1213-0036-4C29-91D0-358A2F9EE139}">
  <dimension ref="A1:Q20"/>
  <sheetViews>
    <sheetView tabSelected="1" zoomScale="62" zoomScaleNormal="85" workbookViewId="0">
      <selection activeCell="T1" sqref="T1"/>
    </sheetView>
  </sheetViews>
  <sheetFormatPr defaultRowHeight="14.4" x14ac:dyDescent="0.3"/>
  <cols>
    <col min="1" max="1" width="21.109375" customWidth="1"/>
    <col min="2" max="2" width="14.77734375" customWidth="1"/>
    <col min="3" max="3" width="18.6640625" customWidth="1"/>
    <col min="4" max="4" width="18.5546875" customWidth="1"/>
    <col min="5" max="5" width="18.21875" customWidth="1"/>
    <col min="6" max="6" width="20.5546875" customWidth="1"/>
    <col min="7" max="7" width="30.5546875" customWidth="1"/>
    <col min="8" max="8" width="19.88671875" customWidth="1"/>
    <col min="9" max="9" width="14.109375" customWidth="1"/>
    <col min="10" max="10" width="20.109375" customWidth="1"/>
    <col min="11" max="11" width="18.6640625" customWidth="1"/>
    <col min="12" max="12" width="18.88671875" customWidth="1"/>
    <col min="14" max="14" width="14.6640625" customWidth="1"/>
    <col min="15" max="15" width="12.77734375" customWidth="1"/>
    <col min="17" max="17" width="28.33203125" customWidth="1"/>
  </cols>
  <sheetData>
    <row r="1" spans="1:17" ht="35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19</v>
      </c>
      <c r="B2">
        <v>4</v>
      </c>
      <c r="C2">
        <v>1</v>
      </c>
      <c r="D2">
        <f>B2*C2</f>
        <v>4</v>
      </c>
      <c r="E2">
        <v>0.3</v>
      </c>
      <c r="F2">
        <f>B2*E2</f>
        <v>1.2</v>
      </c>
      <c r="G2" t="s">
        <v>59</v>
      </c>
      <c r="H2" t="s">
        <v>58</v>
      </c>
      <c r="I2" s="2" t="s">
        <v>33</v>
      </c>
      <c r="J2" s="2" t="s">
        <v>63</v>
      </c>
      <c r="K2" t="s">
        <v>91</v>
      </c>
      <c r="L2" t="s">
        <v>92</v>
      </c>
      <c r="M2">
        <v>0</v>
      </c>
      <c r="N2" s="4">
        <v>46325</v>
      </c>
      <c r="O2">
        <v>4</v>
      </c>
      <c r="P2">
        <v>0</v>
      </c>
      <c r="Q2" t="s">
        <v>43</v>
      </c>
    </row>
    <row r="3" spans="1:17" x14ac:dyDescent="0.3">
      <c r="A3" t="s">
        <v>20</v>
      </c>
      <c r="B3">
        <v>1</v>
      </c>
      <c r="C3">
        <v>0.74</v>
      </c>
      <c r="D3">
        <f t="shared" ref="D3:D12" si="0">B3*C3</f>
        <v>0.74</v>
      </c>
      <c r="E3">
        <v>0.25</v>
      </c>
      <c r="F3">
        <f t="shared" ref="F3:F12" si="1">B3*E3</f>
        <v>0.25</v>
      </c>
      <c r="G3" t="s">
        <v>62</v>
      </c>
      <c r="H3" s="1" t="s">
        <v>60</v>
      </c>
      <c r="I3" s="3" t="s">
        <v>33</v>
      </c>
      <c r="J3" s="2" t="s">
        <v>61</v>
      </c>
      <c r="K3" t="s">
        <v>91</v>
      </c>
      <c r="L3" t="s">
        <v>92</v>
      </c>
      <c r="M3">
        <v>0</v>
      </c>
      <c r="N3" s="4">
        <v>46325</v>
      </c>
      <c r="O3">
        <v>1</v>
      </c>
      <c r="P3">
        <v>0</v>
      </c>
      <c r="Q3" t="s">
        <v>44</v>
      </c>
    </row>
    <row r="4" spans="1:17" x14ac:dyDescent="0.3">
      <c r="A4" t="s">
        <v>21</v>
      </c>
      <c r="B4">
        <v>1</v>
      </c>
      <c r="C4">
        <v>0.54</v>
      </c>
      <c r="D4">
        <f t="shared" si="0"/>
        <v>0.54</v>
      </c>
      <c r="E4">
        <v>0.16</v>
      </c>
      <c r="F4">
        <f t="shared" si="1"/>
        <v>0.16</v>
      </c>
      <c r="G4" t="s">
        <v>65</v>
      </c>
      <c r="H4" s="1" t="s">
        <v>64</v>
      </c>
      <c r="I4" s="3" t="s">
        <v>33</v>
      </c>
      <c r="J4" s="2" t="s">
        <v>66</v>
      </c>
      <c r="K4" t="s">
        <v>91</v>
      </c>
      <c r="L4" t="s">
        <v>92</v>
      </c>
      <c r="M4">
        <v>0</v>
      </c>
      <c r="N4" s="4">
        <v>46325</v>
      </c>
      <c r="O4">
        <v>1</v>
      </c>
      <c r="P4">
        <v>0</v>
      </c>
      <c r="Q4" t="s">
        <v>18</v>
      </c>
    </row>
    <row r="5" spans="1:17" x14ac:dyDescent="0.3">
      <c r="A5" t="s">
        <v>22</v>
      </c>
      <c r="B5">
        <v>1</v>
      </c>
      <c r="C5">
        <v>0.54</v>
      </c>
      <c r="D5">
        <f t="shared" si="0"/>
        <v>0.54</v>
      </c>
      <c r="E5">
        <v>0.16</v>
      </c>
      <c r="F5">
        <f t="shared" si="1"/>
        <v>0.16</v>
      </c>
      <c r="G5" t="s">
        <v>65</v>
      </c>
      <c r="H5" t="s">
        <v>67</v>
      </c>
      <c r="I5" s="2" t="s">
        <v>33</v>
      </c>
      <c r="J5" s="2" t="s">
        <v>68</v>
      </c>
      <c r="K5" t="s">
        <v>91</v>
      </c>
      <c r="L5" t="s">
        <v>92</v>
      </c>
      <c r="M5">
        <v>0</v>
      </c>
      <c r="N5" s="4">
        <v>46325</v>
      </c>
      <c r="O5">
        <v>1</v>
      </c>
      <c r="P5">
        <v>0</v>
      </c>
      <c r="Q5" t="s">
        <v>45</v>
      </c>
    </row>
    <row r="6" spans="1:17" x14ac:dyDescent="0.3">
      <c r="A6" t="s">
        <v>69</v>
      </c>
      <c r="B6">
        <v>1</v>
      </c>
      <c r="C6">
        <v>1.6</v>
      </c>
      <c r="D6">
        <f t="shared" si="0"/>
        <v>1.6</v>
      </c>
      <c r="E6">
        <v>0.78</v>
      </c>
      <c r="F6">
        <f t="shared" si="1"/>
        <v>0.78</v>
      </c>
      <c r="G6" t="s">
        <v>71</v>
      </c>
      <c r="H6" t="s">
        <v>70</v>
      </c>
      <c r="I6" s="2" t="s">
        <v>33</v>
      </c>
      <c r="J6" s="2" t="s">
        <v>72</v>
      </c>
      <c r="K6" t="s">
        <v>33</v>
      </c>
      <c r="L6" t="s">
        <v>93</v>
      </c>
      <c r="M6">
        <v>4</v>
      </c>
      <c r="N6" s="4">
        <v>46325</v>
      </c>
      <c r="P6">
        <v>3</v>
      </c>
      <c r="Q6" t="s">
        <v>46</v>
      </c>
    </row>
    <row r="7" spans="1:17" x14ac:dyDescent="0.3">
      <c r="A7" t="s">
        <v>23</v>
      </c>
      <c r="B7">
        <v>1</v>
      </c>
      <c r="C7">
        <v>0.95</v>
      </c>
      <c r="D7">
        <f t="shared" si="0"/>
        <v>0.95</v>
      </c>
      <c r="E7">
        <v>0.95</v>
      </c>
      <c r="F7">
        <f t="shared" si="1"/>
        <v>0.95</v>
      </c>
      <c r="G7" t="s">
        <v>75</v>
      </c>
      <c r="H7">
        <v>4939</v>
      </c>
      <c r="I7" s="2" t="s">
        <v>33</v>
      </c>
      <c r="K7" t="s">
        <v>33</v>
      </c>
      <c r="L7" t="s">
        <v>95</v>
      </c>
      <c r="M7">
        <v>1</v>
      </c>
      <c r="N7" s="4">
        <v>46325</v>
      </c>
      <c r="P7">
        <v>0</v>
      </c>
      <c r="Q7" t="s">
        <v>47</v>
      </c>
    </row>
    <row r="8" spans="1:17" x14ac:dyDescent="0.3">
      <c r="A8" t="s">
        <v>24</v>
      </c>
      <c r="B8">
        <v>1</v>
      </c>
      <c r="C8">
        <v>0.75</v>
      </c>
      <c r="D8">
        <f t="shared" si="0"/>
        <v>0.75</v>
      </c>
      <c r="E8">
        <v>0.43</v>
      </c>
      <c r="F8">
        <f t="shared" si="1"/>
        <v>0.43</v>
      </c>
      <c r="G8" t="s">
        <v>76</v>
      </c>
      <c r="H8" t="s">
        <v>77</v>
      </c>
      <c r="I8" s="2" t="s">
        <v>33</v>
      </c>
      <c r="J8" s="2" t="s">
        <v>73</v>
      </c>
      <c r="K8" t="s">
        <v>33</v>
      </c>
      <c r="L8" t="s">
        <v>96</v>
      </c>
      <c r="M8">
        <v>1</v>
      </c>
      <c r="N8" s="4">
        <v>46325</v>
      </c>
      <c r="P8">
        <v>0</v>
      </c>
      <c r="Q8" t="s">
        <v>48</v>
      </c>
    </row>
    <row r="9" spans="1:17" x14ac:dyDescent="0.3">
      <c r="A9" t="s">
        <v>25</v>
      </c>
      <c r="B9">
        <v>1</v>
      </c>
      <c r="C9">
        <v>0.77</v>
      </c>
      <c r="D9">
        <f t="shared" si="0"/>
        <v>0.77</v>
      </c>
      <c r="E9">
        <v>0.36</v>
      </c>
      <c r="F9">
        <f t="shared" si="1"/>
        <v>0.36</v>
      </c>
      <c r="G9" t="s">
        <v>32</v>
      </c>
      <c r="H9" t="s">
        <v>41</v>
      </c>
      <c r="I9" s="2" t="s">
        <v>33</v>
      </c>
      <c r="J9" s="2" t="s">
        <v>34</v>
      </c>
      <c r="K9" t="s">
        <v>33</v>
      </c>
      <c r="L9" t="s">
        <v>97</v>
      </c>
      <c r="M9">
        <v>1</v>
      </c>
      <c r="N9" s="4">
        <v>46325</v>
      </c>
      <c r="P9">
        <v>0</v>
      </c>
      <c r="Q9" t="s">
        <v>49</v>
      </c>
    </row>
    <row r="10" spans="1:17" x14ac:dyDescent="0.3">
      <c r="A10" t="s">
        <v>26</v>
      </c>
      <c r="B10">
        <v>4</v>
      </c>
      <c r="C10">
        <v>0.14000000000000001</v>
      </c>
      <c r="D10">
        <f t="shared" si="0"/>
        <v>0.56000000000000005</v>
      </c>
      <c r="E10">
        <v>0.04</v>
      </c>
      <c r="F10">
        <f t="shared" si="1"/>
        <v>0.16</v>
      </c>
      <c r="G10" t="s">
        <v>81</v>
      </c>
      <c r="H10" t="s">
        <v>80</v>
      </c>
      <c r="I10" s="2" t="s">
        <v>33</v>
      </c>
      <c r="J10" s="2" t="s">
        <v>82</v>
      </c>
      <c r="K10" t="s">
        <v>91</v>
      </c>
      <c r="L10" t="s">
        <v>92</v>
      </c>
      <c r="M10">
        <v>0</v>
      </c>
      <c r="N10" s="4">
        <v>46325</v>
      </c>
      <c r="O10">
        <v>4</v>
      </c>
      <c r="P10">
        <v>0</v>
      </c>
      <c r="Q10" t="s">
        <v>90</v>
      </c>
    </row>
    <row r="11" spans="1:17" x14ac:dyDescent="0.3">
      <c r="A11" t="s">
        <v>27</v>
      </c>
      <c r="B11">
        <v>1</v>
      </c>
      <c r="C11">
        <v>0.14000000000000001</v>
      </c>
      <c r="D11">
        <f t="shared" si="0"/>
        <v>0.14000000000000001</v>
      </c>
      <c r="E11">
        <v>0.04</v>
      </c>
      <c r="F11">
        <f t="shared" si="1"/>
        <v>0.04</v>
      </c>
      <c r="G11" t="s">
        <v>81</v>
      </c>
      <c r="H11" t="s">
        <v>83</v>
      </c>
      <c r="I11" s="2" t="s">
        <v>33</v>
      </c>
      <c r="J11" s="2" t="s">
        <v>84</v>
      </c>
      <c r="K11" t="s">
        <v>91</v>
      </c>
      <c r="L11" t="s">
        <v>92</v>
      </c>
      <c r="M11">
        <v>0</v>
      </c>
      <c r="N11" s="4">
        <v>46325</v>
      </c>
      <c r="O11">
        <v>1</v>
      </c>
      <c r="P11">
        <v>0</v>
      </c>
      <c r="Q11" t="s">
        <v>50</v>
      </c>
    </row>
    <row r="12" spans="1:17" x14ac:dyDescent="0.3">
      <c r="A12" t="s">
        <v>28</v>
      </c>
      <c r="B12">
        <v>2</v>
      </c>
      <c r="C12">
        <v>0.14000000000000001</v>
      </c>
      <c r="D12">
        <f t="shared" si="0"/>
        <v>0.28000000000000003</v>
      </c>
      <c r="E12">
        <v>0.04</v>
      </c>
      <c r="F12">
        <f t="shared" si="1"/>
        <v>0.08</v>
      </c>
      <c r="G12" t="s">
        <v>81</v>
      </c>
      <c r="H12" t="s">
        <v>85</v>
      </c>
      <c r="I12" s="2" t="s">
        <v>33</v>
      </c>
      <c r="J12" s="2" t="s">
        <v>86</v>
      </c>
      <c r="K12" t="s">
        <v>91</v>
      </c>
      <c r="L12" t="s">
        <v>92</v>
      </c>
      <c r="M12">
        <v>0</v>
      </c>
      <c r="N12" s="4">
        <v>46325</v>
      </c>
      <c r="O12">
        <v>2</v>
      </c>
      <c r="P12">
        <v>0</v>
      </c>
      <c r="Q12" t="s">
        <v>89</v>
      </c>
    </row>
    <row r="13" spans="1:17" x14ac:dyDescent="0.3">
      <c r="A13" t="s">
        <v>29</v>
      </c>
      <c r="B13">
        <v>1</v>
      </c>
      <c r="C13">
        <v>0.32</v>
      </c>
      <c r="D13">
        <f t="shared" ref="D13:D17" si="2">B13*C13</f>
        <v>0.32</v>
      </c>
      <c r="E13">
        <v>0.17</v>
      </c>
      <c r="F13">
        <f t="shared" ref="F13:F17" si="3">B13*E13</f>
        <v>0.17</v>
      </c>
      <c r="G13" t="s">
        <v>79</v>
      </c>
      <c r="H13" t="s">
        <v>78</v>
      </c>
      <c r="I13" s="2" t="s">
        <v>33</v>
      </c>
      <c r="J13" s="2" t="s">
        <v>74</v>
      </c>
      <c r="K13" t="s">
        <v>91</v>
      </c>
      <c r="L13" t="s">
        <v>92</v>
      </c>
      <c r="M13">
        <v>0</v>
      </c>
      <c r="N13" s="4">
        <v>46325</v>
      </c>
      <c r="O13">
        <v>1</v>
      </c>
      <c r="P13">
        <v>0</v>
      </c>
      <c r="Q13" t="s">
        <v>17</v>
      </c>
    </row>
    <row r="14" spans="1:17" ht="12.6" customHeight="1" x14ac:dyDescent="0.3">
      <c r="A14" t="s">
        <v>30</v>
      </c>
      <c r="B14">
        <v>7</v>
      </c>
      <c r="C14">
        <v>0.27</v>
      </c>
      <c r="D14">
        <f t="shared" si="2"/>
        <v>1.8900000000000001</v>
      </c>
      <c r="E14">
        <v>0.14000000000000001</v>
      </c>
      <c r="F14">
        <f t="shared" si="3"/>
        <v>0.98000000000000009</v>
      </c>
      <c r="G14" t="s">
        <v>87</v>
      </c>
      <c r="H14">
        <v>5001</v>
      </c>
      <c r="I14" s="2" t="s">
        <v>33</v>
      </c>
      <c r="J14" s="2" t="s">
        <v>88</v>
      </c>
      <c r="K14" t="s">
        <v>33</v>
      </c>
      <c r="L14" s="1" t="s">
        <v>94</v>
      </c>
      <c r="M14" s="1">
        <v>11</v>
      </c>
      <c r="N14" s="4">
        <v>46325</v>
      </c>
      <c r="P14">
        <v>4</v>
      </c>
      <c r="Q14" t="s">
        <v>51</v>
      </c>
    </row>
    <row r="15" spans="1:17" x14ac:dyDescent="0.3">
      <c r="A15" t="s">
        <v>31</v>
      </c>
      <c r="B15">
        <v>1</v>
      </c>
      <c r="C15">
        <v>0.6</v>
      </c>
      <c r="D15">
        <f t="shared" si="2"/>
        <v>0.6</v>
      </c>
      <c r="E15">
        <v>0.45</v>
      </c>
      <c r="F15">
        <f t="shared" si="3"/>
        <v>0.45</v>
      </c>
      <c r="G15" t="s">
        <v>35</v>
      </c>
      <c r="H15" t="s">
        <v>42</v>
      </c>
      <c r="I15" s="2" t="s">
        <v>33</v>
      </c>
      <c r="J15" s="2" t="s">
        <v>36</v>
      </c>
      <c r="K15" t="s">
        <v>33</v>
      </c>
      <c r="L15" t="s">
        <v>98</v>
      </c>
      <c r="M15">
        <v>2</v>
      </c>
      <c r="N15" s="4">
        <v>46325</v>
      </c>
      <c r="P15">
        <v>1</v>
      </c>
      <c r="Q15" t="s">
        <v>55</v>
      </c>
    </row>
    <row r="16" spans="1:17" x14ac:dyDescent="0.3">
      <c r="A16" t="s">
        <v>37</v>
      </c>
      <c r="B16">
        <v>1</v>
      </c>
      <c r="C16">
        <v>1.1399999999999999</v>
      </c>
      <c r="D16">
        <f t="shared" si="2"/>
        <v>1.1399999999999999</v>
      </c>
      <c r="E16">
        <v>0.55000000000000004</v>
      </c>
      <c r="F16">
        <f t="shared" si="3"/>
        <v>0.55000000000000004</v>
      </c>
      <c r="G16" t="s">
        <v>39</v>
      </c>
      <c r="H16" s="1" t="s">
        <v>38</v>
      </c>
      <c r="I16" s="3" t="s">
        <v>33</v>
      </c>
      <c r="J16" s="2" t="s">
        <v>40</v>
      </c>
      <c r="K16" t="s">
        <v>33</v>
      </c>
      <c r="L16" t="s">
        <v>99</v>
      </c>
      <c r="M16">
        <v>2</v>
      </c>
      <c r="N16" s="4">
        <v>46325</v>
      </c>
      <c r="P16">
        <v>1</v>
      </c>
      <c r="Q16" t="s">
        <v>54</v>
      </c>
    </row>
    <row r="17" spans="1:17" x14ac:dyDescent="0.3">
      <c r="A17" t="s">
        <v>53</v>
      </c>
      <c r="B17">
        <v>1</v>
      </c>
      <c r="C17">
        <v>10.61</v>
      </c>
      <c r="D17">
        <f t="shared" si="2"/>
        <v>10.61</v>
      </c>
      <c r="E17">
        <v>9.99</v>
      </c>
      <c r="F17">
        <f t="shared" si="3"/>
        <v>9.99</v>
      </c>
      <c r="G17" t="s">
        <v>35</v>
      </c>
      <c r="H17" t="s">
        <v>52</v>
      </c>
      <c r="I17" s="2" t="s">
        <v>33</v>
      </c>
      <c r="J17" s="2" t="s">
        <v>57</v>
      </c>
      <c r="K17" t="s">
        <v>33</v>
      </c>
      <c r="L17" t="s">
        <v>92</v>
      </c>
      <c r="M17">
        <v>1</v>
      </c>
      <c r="N17" s="4">
        <v>46325</v>
      </c>
      <c r="P17">
        <v>0</v>
      </c>
      <c r="Q17" t="s">
        <v>56</v>
      </c>
    </row>
    <row r="20" spans="1:17" x14ac:dyDescent="0.3">
      <c r="H20" s="2"/>
    </row>
  </sheetData>
  <phoneticPr fontId="2" type="noConversion"/>
  <hyperlinks>
    <hyperlink ref="I9" r:id="rId1" xr:uid="{A496E330-85AA-4408-8BD5-A8E87640793E}"/>
    <hyperlink ref="J9" r:id="rId2" xr:uid="{C429CCF5-A774-4BE3-8EFB-12DF31F250A8}"/>
    <hyperlink ref="I2" r:id="rId3" xr:uid="{960E9524-25F8-4E6D-85E1-F19DE88195AF}"/>
    <hyperlink ref="J2" r:id="rId4" display="Cap datasheet" xr:uid="{59A0DD26-65EB-47FF-B7B8-778FAA28E03E}"/>
    <hyperlink ref="I16" r:id="rId5" display="L7805 Datasheet" xr:uid="{B8721B16-FB11-47DD-9DD5-BC023BC0394D}"/>
    <hyperlink ref="J16" r:id="rId6" xr:uid="{BD8BF2AF-2F91-4537-B36F-9604390F4D84}"/>
    <hyperlink ref="I15" r:id="rId7" xr:uid="{04EAEDC1-8DD5-4DD8-8285-4C8BFD3E3692}"/>
    <hyperlink ref="I17" r:id="rId8" xr:uid="{B482B6F6-A0C6-4727-A164-A27DE1F2F1D7}"/>
    <hyperlink ref="J17" r:id="rId9" xr:uid="{81C86F2D-1B0B-40FB-A1BB-D1C447DC913A}"/>
    <hyperlink ref="I3" r:id="rId10" xr:uid="{76B4068E-34A7-4140-B154-EE8AA0B62C5C}"/>
    <hyperlink ref="J3" r:id="rId11" xr:uid="{8849ED37-AFD5-4152-B392-BCBA290A0C31}"/>
    <hyperlink ref="I4" r:id="rId12" xr:uid="{809FD3BD-027F-4928-8DC6-4F7374D83EC6}"/>
    <hyperlink ref="J4" r:id="rId13" xr:uid="{D3C9A882-8E01-4FB6-9788-F0C7FB33B434}"/>
    <hyperlink ref="I5" r:id="rId14" xr:uid="{C05C2636-4CDD-4D78-8A66-EB050EE933EB}"/>
    <hyperlink ref="J5" r:id="rId15" xr:uid="{C4EE2CC7-56DE-473F-8781-42AEB01154A7}"/>
    <hyperlink ref="I6" r:id="rId16" xr:uid="{A4168C2B-5FD8-465F-B37F-9EB02D41D2C6}"/>
    <hyperlink ref="J6" r:id="rId17" xr:uid="{634C7723-774A-405E-82A0-B2429A123791}"/>
    <hyperlink ref="I7" r:id="rId18" xr:uid="{57FE3A97-7FE0-4BCC-8AB8-F49E8BD48667}"/>
    <hyperlink ref="I8" r:id="rId19" xr:uid="{27FDF7A4-E3AF-42C3-AB31-17102D03386A}"/>
    <hyperlink ref="J8" r:id="rId20" xr:uid="{6686AF17-0137-42DB-879E-0351FFF27F87}"/>
    <hyperlink ref="I13" r:id="rId21" xr:uid="{2AEFEC2D-F911-413F-ACCB-446D094AFA89}"/>
    <hyperlink ref="J13" r:id="rId22" xr:uid="{5C46863A-B9CA-499D-AA75-7819C3DBCDCF}"/>
    <hyperlink ref="I10" r:id="rId23" xr:uid="{ED08F121-BDF5-4839-9B7B-B885EA6503C5}"/>
    <hyperlink ref="J10" r:id="rId24" xr:uid="{EC80CED7-C768-4012-A58D-1253D6CC4C39}"/>
    <hyperlink ref="I11" r:id="rId25" xr:uid="{82A1B479-3AB5-475B-9474-090810D7D5B4}"/>
    <hyperlink ref="J11" r:id="rId26" xr:uid="{6122E4B9-CEB9-4801-B173-4DCA4637C175}"/>
    <hyperlink ref="I12" r:id="rId27" xr:uid="{E9FEC19E-5970-4B08-9731-091197065645}"/>
    <hyperlink ref="J12" r:id="rId28" xr:uid="{4389361B-5674-4BFA-83CF-35FA2E9D4949}"/>
    <hyperlink ref="I14" r:id="rId29" xr:uid="{8ECA86F8-95F8-459A-910D-A810C5EFED98}"/>
    <hyperlink ref="J14" r:id="rId30" xr:uid="{B237B5BB-0A6B-4D65-8F3F-E96FEFC49D21}"/>
    <hyperlink ref="J15" r:id="rId31" xr:uid="{43D13811-57E0-4B14-915A-A9C8A3C48690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Branden Cluff (Student)</dc:creator>
  <cp:lastModifiedBy>branden cluff</cp:lastModifiedBy>
  <dcterms:created xsi:type="dcterms:W3CDTF">2026-10-30T02:50:15Z</dcterms:created>
  <dcterms:modified xsi:type="dcterms:W3CDTF">2026-10-31T01:08:54Z</dcterms:modified>
</cp:coreProperties>
</file>